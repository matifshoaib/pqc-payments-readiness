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BOM Register" sheetId="2" state="visible" r:id="rId4"/>
    <sheet name="Legend &amp;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<sst xmlns="http://schemas.openxmlformats.org/spreadsheetml/2006/main" count="173" uniqueCount="142">
  <si>
    <t xml:space="preserve">Cryptographic Bill of Materials (CBOM) — Template</t>
  </si>
  <si>
    <t xml:space="preserve">Post-quantum migration readiness · companion to the PQC-Payments Readiness Dashboard</t>
  </si>
  <si>
    <t xml:space="preserve">WHAT THIS IS</t>
  </si>
  <si>
    <t xml:space="preserve">A CBOM is the inventory of every cryptographic dependency in an estate — the universally-agreed first step of any post-quantum migration (NIST, EU, CCCS all start here). You cannot migrate, prioritise, or budget for what you have not inventoried.</t>
  </si>
  <si>
    <t xml:space="preserve">⚠  CONFIDENTIALITY — READ FIRST</t>
  </si>
  <si>
    <t xml:space="preserve">This file is a TEMPLATE. Every data row is an ILLUSTRATIVE SAMPLE (prefixed “SAMPLE —”), not real inventory. A real, populated CBOM lists your actual systems, algorithms, and owners — that is confidential operational data and must NOT be published, shared externally, or committed to a public repository. Keep any populated version internal.</t>
  </si>
  <si>
    <t xml:space="preserve">HOW TO USE IT</t>
  </si>
  <si>
    <t xml:space="preserve">1.  One row per cryptographic dependency (a channel, certificate, key, or protocol instance).</t>
  </si>
  <si>
    <t xml:space="preserve">2.  Fill the columns left to right. Categorical columns (Quantum Exposure, HNDL, Status, Vendor PQC Support, Retention) have dropdowns.</t>
  </si>
  <si>
    <t xml:space="preserve">3.  The ‘Migration Priority’ column computes automatically from Quantum Exposure + HNDL exposure.</t>
  </si>
  <si>
    <t xml:space="preserve">4.  Sort by Migration Priority to get your work order. Critical first.</t>
  </si>
  <si>
    <t xml:space="preserve">THE PRIORITISATION LOGIC (why the priority column works the way it does)</t>
  </si>
  <si>
    <t xml:space="preserve">•  Shor-broken + HNDL ‘Yes’  →  CRITICAL. Asymmetric crypto that encrypts long-lived data in transit/at rest. The exposure is irreversible — traffic recorded today is decrypted once a quantum computer exists (harvest-now-decrypt-later). Migrate first.</t>
  </si>
  <si>
    <t xml:space="preserve">•  Shor-broken, not HNDL  →  HIGH. Signatures (PKI, code-signing). Forgeable the instant a quantum computer exists, but not retroactively harvestable.</t>
  </si>
  <si>
    <t xml:space="preserve">•  Grover-weakened  →  MEDIUM. Symmetric crypto (AES). Survives with adequate key size; verify it is ≥256-bit, then it is effectively safe.</t>
  </si>
  <si>
    <t xml:space="preserve">•  Safe  →  LOW. Symmetric/hash with adequate size, or already quantum-resilient. Size check only.</t>
  </si>
  <si>
    <t xml:space="preserve">ALIGNMENT</t>
  </si>
  <si>
    <t xml:space="preserve">Maps to the NIST/EU ‘cryptographic inventory’ expectation and to OSFI Guideline B-13 asset-classification of cryptographic dependencies. Standards facts verified 2026-06 — re-verify before formal use.</t>
  </si>
  <si>
    <t xml:space="preserve">Asset / System</t>
  </si>
  <si>
    <t xml:space="preserve">Component / Channel</t>
  </si>
  <si>
    <t xml:space="preserve">Crypto Function</t>
  </si>
  <si>
    <t xml:space="preserve">Algorithm In Use</t>
  </si>
  <si>
    <t xml:space="preserve">Key Size / Params</t>
  </si>
  <si>
    <t xml:space="preserve">Quantum Exposure</t>
  </si>
  <si>
    <t xml:space="preserve">Secrecy Lifetime (yrs)</t>
  </si>
  <si>
    <t xml:space="preserve">Data Retention Class</t>
  </si>
  <si>
    <t xml:space="preserve">HNDL Exposure</t>
  </si>
  <si>
    <t xml:space="preserve">Migration Target</t>
  </si>
  <si>
    <t xml:space="preserve">Vendor / Product</t>
  </si>
  <si>
    <t xml:space="preserve">Vendor PQC Support</t>
  </si>
  <si>
    <t xml:space="preserve">Owner</t>
  </si>
  <si>
    <t xml:space="preserve">Migration Status</t>
  </si>
  <si>
    <t xml:space="preserve">Compensating / Interim Control</t>
  </si>
  <si>
    <t xml:space="preserve">Notes / Exception</t>
  </si>
  <si>
    <t xml:space="preserve">Migration Priority (auto)</t>
  </si>
  <si>
    <t xml:space="preserve">SAMPLE — Cross-border payment gateway</t>
  </si>
  <si>
    <t xml:space="preserve">TLS / mTLS</t>
  </si>
  <si>
    <t xml:space="preserve">Key exchange</t>
  </si>
  <si>
    <t xml:space="preserve">ECDHE P-256 + RSA-2048</t>
  </si>
  <si>
    <t xml:space="preserve">256-bit ECC</t>
  </si>
  <si>
    <t xml:space="preserve">Shor-broken</t>
  </si>
  <si>
    <t xml:space="preserve">Long (7-10 yr)</t>
  </si>
  <si>
    <t xml:space="preserve">Yes</t>
  </si>
  <si>
    <t xml:space="preserve">Hybrid X25519+ML-KEM-768</t>
  </si>
  <si>
    <t xml:space="preserve">F5 BIG-IP</t>
  </si>
  <si>
    <t xml:space="preserve">Firmware planned 2026</t>
  </si>
  <si>
    <t xml:space="preserve">Payments Infra</t>
  </si>
  <si>
    <t xml:space="preserve">Inventoried</t>
  </si>
  <si>
    <t xml:space="preserve">None yet</t>
  </si>
  <si>
    <t xml:space="preserve">Recorded traffic decryptable later</t>
  </si>
  <si>
    <t xml:space="preserve">SAMPLE — SWIFT messaging interface</t>
  </si>
  <si>
    <t xml:space="preserve">SWIFT PKI</t>
  </si>
  <si>
    <t xml:space="preserve">Signature</t>
  </si>
  <si>
    <t xml:space="preserve">RSA-2048</t>
  </si>
  <si>
    <t xml:space="preserve">2048-bit</t>
  </si>
  <si>
    <t xml:space="preserve">No</t>
  </si>
  <si>
    <t xml:space="preserve">ML-DSA-65</t>
  </si>
  <si>
    <t xml:space="preserve">SWIFT Alliance</t>
  </si>
  <si>
    <t xml:space="preserve">Community-paced</t>
  </si>
  <si>
    <t xml:space="preserve">SWIFT Connectivity</t>
  </si>
  <si>
    <t xml:space="preserve">Not started</t>
  </si>
  <si>
    <t xml:space="preserve">None</t>
  </si>
  <si>
    <t xml:space="preserve">Migration is network-community-paced</t>
  </si>
  <si>
    <t xml:space="preserve">SAMPLE — Code-signing pipeline</t>
  </si>
  <si>
    <t xml:space="preserve">Code &amp; firmware signing</t>
  </si>
  <si>
    <t xml:space="preserve">RSA-3072</t>
  </si>
  <si>
    <t xml:space="preserve">3072-bit</t>
  </si>
  <si>
    <t xml:space="preserve">Archival (15 yr)</t>
  </si>
  <si>
    <t xml:space="preserve">SLH-DSA (long-life) / ML-DSA-65</t>
  </si>
  <si>
    <t xml:space="preserve">Internal CA</t>
  </si>
  <si>
    <t xml:space="preserve">Supported (HSM fw)</t>
  </si>
  <si>
    <t xml:space="preserve">DevSecOps</t>
  </si>
  <si>
    <t xml:space="preserve">Firmware verifies for years → SLH-DSA</t>
  </si>
  <si>
    <t xml:space="preserve">SAMPLE — Site-to-site VPN to SWIFT</t>
  </si>
  <si>
    <t xml:space="preserve">IPsec / IKEv2</t>
  </si>
  <si>
    <t xml:space="preserve">ECDH P-256</t>
  </si>
  <si>
    <t xml:space="preserve">256-bit</t>
  </si>
  <si>
    <t xml:space="preserve">ML-KEM in IKEv2 (RFC 9370)</t>
  </si>
  <si>
    <t xml:space="preserve">Cisco ASA</t>
  </si>
  <si>
    <t xml:space="preserve">Unknown</t>
  </si>
  <si>
    <t xml:space="preserve">Network</t>
  </si>
  <si>
    <t xml:space="preserve">RFC 8784 PPK (interim)</t>
  </si>
  <si>
    <t xml:space="preserve">Tunnel traffic recordable</t>
  </si>
  <si>
    <t xml:space="preserve">SAMPLE — Payments DB (TDE)</t>
  </si>
  <si>
    <t xml:space="preserve">Data-at-rest</t>
  </si>
  <si>
    <t xml:space="preserve">Encryption</t>
  </si>
  <si>
    <t xml:space="preserve">AES-256-GCM</t>
  </si>
  <si>
    <t xml:space="preserve">Grover-weakened</t>
  </si>
  <si>
    <t xml:space="preserve">Keep AES-256</t>
  </si>
  <si>
    <t xml:space="preserve">Oracle TDE</t>
  </si>
  <si>
    <t xml:space="preserve">N/A (symmetric)</t>
  </si>
  <si>
    <t xml:space="preserve">DBA</t>
  </si>
  <si>
    <t xml:space="preserve">N/A</t>
  </si>
  <si>
    <t xml:space="preserve">None needed</t>
  </si>
  <si>
    <t xml:space="preserve">Survives; confirm 256-bit</t>
  </si>
  <si>
    <t xml:space="preserve">SAMPLE — Message integrity (LAU/HMAC)</t>
  </si>
  <si>
    <t xml:space="preserve">Hashing / MAC</t>
  </si>
  <si>
    <t xml:space="preserve">MAC</t>
  </si>
  <si>
    <t xml:space="preserve">HMAC-SHA256</t>
  </si>
  <si>
    <t xml:space="preserve">Safe</t>
  </si>
  <si>
    <t xml:space="preserve">Medium (3-7 yr)</t>
  </si>
  <si>
    <t xml:space="preserve">Keep; ensure SHA-384+</t>
  </si>
  <si>
    <t xml:space="preserve">In-house</t>
  </si>
  <si>
    <t xml:space="preserve">App Team</t>
  </si>
  <si>
    <t xml:space="preserve">Symmetric MAC, quantum-resilient</t>
  </si>
  <si>
    <t xml:space="preserve">SAMPLE — Customer archive store</t>
  </si>
  <si>
    <t xml:space="preserve">AES-128</t>
  </si>
  <si>
    <t xml:space="preserve">128-bit</t>
  </si>
  <si>
    <t xml:space="preserve">Move to AES-256</t>
  </si>
  <si>
    <t xml:space="preserve">Storage vendor</t>
  </si>
  <si>
    <t xml:space="preserve">Storage</t>
  </si>
  <si>
    <t xml:space="preserve">AES-128 too weak for 25-yr data</t>
  </si>
  <si>
    <t xml:space="preserve">Legend &amp; Reference</t>
  </si>
  <si>
    <t xml:space="preserve">QUANTUM EXPOSURE</t>
  </si>
  <si>
    <t xml:space="preserve">Asymmetric crypto (RSA, ECC, DH). Fully broken by Shor's algorithm. MUST be replaced with PQC.</t>
  </si>
  <si>
    <t xml:space="preserve">Symmetric crypto (AES). Only quadratically weakened by Grover. Safe with adequate key size (≥256-bit).</t>
  </si>
  <si>
    <t xml:space="preserve">Symmetric/hash with adequate size, or already quantum-resilient (e.g. HMAC). Size check only.</t>
  </si>
  <si>
    <t xml:space="preserve">MIGRATION PRIORITY (auto-computed)</t>
  </si>
  <si>
    <t xml:space="preserve">Critical — HNDL, irreversible</t>
  </si>
  <si>
    <t xml:space="preserve">Shor-broken AND encrypts long-lived data in transit/at rest. Harvest-now-decrypt-later exposure is accruing now. Migrate first.</t>
  </si>
  <si>
    <t xml:space="preserve">High</t>
  </si>
  <si>
    <t xml:space="preserve">Shor-broken signatures (PKI, code-signing). Forgeable at quantum-computer arrival; not retroactively harvestable.</t>
  </si>
  <si>
    <t xml:space="preserve">Medium — verify key ≥256</t>
  </si>
  <si>
    <t xml:space="preserve">Grover-weakened. Confirm AES-256 / adequate size; then effectively safe.</t>
  </si>
  <si>
    <t xml:space="preserve">Low — size check</t>
  </si>
  <si>
    <t xml:space="preserve">Safe. No migration; verify sizes (AES-256, SHA-384+).</t>
  </si>
  <si>
    <t xml:space="preserve">MIGRATION TARGETS (FIPS)</t>
  </si>
  <si>
    <t xml:space="preserve">ML-KEM (FIPS 203)</t>
  </si>
  <si>
    <t xml:space="preserve">Key establishment. ML-KEM-768 commercial default; ML-KEM-1024 for highest-sensitivity / CNSA 2.0.</t>
  </si>
  <si>
    <t xml:space="preserve">ML-DSA (FIPS 204)</t>
  </si>
  <si>
    <t xml:space="preserve">Signatures. ML-DSA-65 commercial default; ML-DSA-87 for highest-assurance / CNSA 2.0.</t>
  </si>
  <si>
    <t xml:space="preserve">SLH-DSA (FIPS 205)</t>
  </si>
  <si>
    <t xml:space="preserve">Hash-based signatures. Conservative; for long-life / firmware signing. Large signatures (up to ~49 KB).</t>
  </si>
  <si>
    <t xml:space="preserve">Keep (symmetric)</t>
  </si>
  <si>
    <t xml:space="preserve">AES-256 and SHA-384+ survive quantum. No migration; size check only.</t>
  </si>
  <si>
    <t xml:space="preserve">SCOPE NOTE</t>
  </si>
  <si>
    <t xml:space="preserve">CNSA 2.0</t>
  </si>
  <si>
    <t xml:space="preserve">Category-5 mandate applies to US national-security systems — NOT commercial banks. Payments commonly adopt Category-3 per risk appetite.</t>
  </si>
  <si>
    <t xml:space="preserve">NIST horizon</t>
  </si>
  <si>
    <t xml:space="preserve">RSA/ECC deprecated 2030 / disallowed 2035 (NIST IR 8547) is US-federal guidance — a directional reference, not an OSFI mandate for Canadian banks.</t>
  </si>
  <si>
    <t xml:space="preserve">Verified</t>
  </si>
  <si>
    <t xml:space="preserve">2026-06. Re-verify standards facts before formal use.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</si>
</sst>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B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A1A1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4"/>
      </left>
      <right style="thin">
        <color rgb="FFD9D2C4"/>
      </right>
      <top style="thin">
        <color rgb="FFD9D2C4"/>
      </top>
      <bottom style="thin">
        <color rgb="FFD9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D9D2C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60" hidden="false" customHeight="true" outlineLevel="0" collapsed="false">
      <c r="B6" s="4" t="s">
        <v>3</v>
      </c>
    </row>
    <row r="8" customFormat="false" ht="15" hidden="false" customHeight="false" outlineLevel="0" collapsed="false">
      <c r="B8" s="5" t="s">
        <v>4</v>
      </c>
    </row>
    <row r="9" customFormat="false" ht="75" hidden="false" customHeight="true" outlineLevel="0" collapsed="false">
      <c r="B9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4" t="s">
        <v>7</v>
      </c>
    </row>
    <row r="13" customFormat="false" ht="30" hidden="false" customHeight="true" outlineLevel="0" collapsed="false">
      <c r="B13" s="4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7" customFormat="false" ht="15" hidden="false" customHeight="false" outlineLevel="0" collapsed="false">
      <c r="B17" s="3" t="s">
        <v>11</v>
      </c>
    </row>
    <row r="18" customFormat="false" ht="60" hidden="false" customHeight="true" outlineLevel="0" collapsed="false">
      <c r="B18" s="4" t="s">
        <v>12</v>
      </c>
    </row>
    <row r="19" customFormat="false" ht="45" hidden="false" customHeight="true" outlineLevel="0" collapsed="false">
      <c r="B19" s="4" t="s">
        <v>13</v>
      </c>
    </row>
    <row r="20" customFormat="false" ht="45" hidden="false" customHeight="true" outlineLevel="0" collapsed="false">
      <c r="B20" s="4" t="s">
        <v>14</v>
      </c>
    </row>
    <row r="21" customFormat="false" ht="30" hidden="false" customHeight="true" outlineLevel="0" collapsed="false">
      <c r="B21" s="4" t="s">
        <v>15</v>
      </c>
    </row>
    <row r="23" customFormat="false" ht="15" hidden="false" customHeight="false" outlineLevel="0" collapsed="false">
      <c r="B23" s="3" t="s">
        <v>16</v>
      </c>
    </row>
    <row r="24" customFormat="false" ht="45" hidden="false" customHeight="true" outlineLevel="0" collapsed="false">
      <c r="B24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30"/>
    <col collapsed="false" customWidth="true" hidden="false" outlineLevel="0" max="12" min="11" style="0" width="20"/>
    <col collapsed="false" customWidth="true" hidden="false" outlineLevel="0" max="14" min="13" style="0" width="18"/>
    <col collapsed="false" customWidth="true" hidden="false" outlineLevel="0" max="15" min="15" style="0" width="26"/>
    <col collapsed="false" customWidth="true" hidden="false" outlineLevel="0" max="16" min="16" style="0" width="30"/>
    <col collapsed="false" customWidth="true" hidden="false" outlineLevel="0" max="17" min="17" style="0" width="26"/>
  </cols>
  <sheetData>
    <row r="1" customFormat="false" ht="30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</row>
    <row r="2" customFormat="false" ht="30" hidden="false" customHeight="true" outlineLevel="0" collapsed="false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7" t="n">
        <v>10</v>
      </c>
      <c r="H2" s="7" t="s">
        <v>41</v>
      </c>
      <c r="I2" s="7" t="s">
        <v>42</v>
      </c>
      <c r="J2" s="7" t="s">
        <v>43</v>
      </c>
      <c r="K2" s="7" t="s">
        <v>44</v>
      </c>
      <c r="L2" s="7" t="s">
        <v>45</v>
      </c>
      <c r="M2" s="7" t="s">
        <v>46</v>
      </c>
      <c r="N2" s="7" t="s">
        <v>47</v>
      </c>
      <c r="O2" s="7" t="s">
        <v>48</v>
      </c>
      <c r="P2" s="7" t="s">
        <v>49</v>
      </c>
      <c r="Q2" s="8" t="str">
        <f aca="false">IF(F2="","",IF(F2="Safe","Low — size check",IF(F2="Grover-weakened","Medium — verify key &gt;=256",IF(F2="Shor-broken",IF(I2="Yes","Critical — HNDL, irreversible","High"),"Review"))))</f>
        <v>Critical — HNDL, irreversible</v>
      </c>
    </row>
    <row r="3" customFormat="false" ht="30" hidden="false" customHeight="true" outlineLevel="0" collapsed="false">
      <c r="A3" s="7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40</v>
      </c>
      <c r="G3" s="7" t="n">
        <v>7</v>
      </c>
      <c r="H3" s="7" t="s">
        <v>41</v>
      </c>
      <c r="I3" s="7" t="s">
        <v>55</v>
      </c>
      <c r="J3" s="7" t="s">
        <v>56</v>
      </c>
      <c r="K3" s="7" t="s">
        <v>57</v>
      </c>
      <c r="L3" s="7" t="s">
        <v>58</v>
      </c>
      <c r="M3" s="7" t="s">
        <v>59</v>
      </c>
      <c r="N3" s="7" t="s">
        <v>60</v>
      </c>
      <c r="O3" s="7" t="s">
        <v>61</v>
      </c>
      <c r="P3" s="7" t="s">
        <v>62</v>
      </c>
      <c r="Q3" s="8" t="str">
        <f aca="false">IF(F3="","",IF(F3="Safe","Low — size check",IF(F3="Grover-weakened","Medium — verify key &gt;=256",IF(F3="Shor-broken",IF(I3="Yes","Critical — HNDL, irreversible","High"),"Review"))))</f>
        <v>High</v>
      </c>
    </row>
    <row r="4" customFormat="false" ht="30" hidden="false" customHeight="true" outlineLevel="0" collapsed="false">
      <c r="A4" s="7" t="s">
        <v>63</v>
      </c>
      <c r="B4" s="7" t="s">
        <v>64</v>
      </c>
      <c r="C4" s="7" t="s">
        <v>52</v>
      </c>
      <c r="D4" s="7" t="s">
        <v>65</v>
      </c>
      <c r="E4" s="7" t="s">
        <v>66</v>
      </c>
      <c r="F4" s="7" t="s">
        <v>40</v>
      </c>
      <c r="G4" s="7" t="n">
        <v>15</v>
      </c>
      <c r="H4" s="7" t="s">
        <v>67</v>
      </c>
      <c r="I4" s="7" t="s">
        <v>55</v>
      </c>
      <c r="J4" s="7" t="s">
        <v>68</v>
      </c>
      <c r="K4" s="7" t="s">
        <v>69</v>
      </c>
      <c r="L4" s="7" t="s">
        <v>70</v>
      </c>
      <c r="M4" s="7" t="s">
        <v>71</v>
      </c>
      <c r="N4" s="7" t="s">
        <v>60</v>
      </c>
      <c r="O4" s="7" t="s">
        <v>61</v>
      </c>
      <c r="P4" s="7" t="s">
        <v>72</v>
      </c>
      <c r="Q4" s="8" t="str">
        <f aca="false">IF(F4="","",IF(F4="Safe","Low — size check",IF(F4="Grover-weakened","Medium — verify key &gt;=256",IF(F4="Shor-broken",IF(I4="Yes","Critical — HNDL, irreversible","High"),"Review"))))</f>
        <v>High</v>
      </c>
    </row>
    <row r="5" customFormat="false" ht="30" hidden="false" customHeight="true" outlineLevel="0" collapsed="false">
      <c r="A5" s="7" t="s">
        <v>73</v>
      </c>
      <c r="B5" s="7" t="s">
        <v>74</v>
      </c>
      <c r="C5" s="7" t="s">
        <v>37</v>
      </c>
      <c r="D5" s="7" t="s">
        <v>75</v>
      </c>
      <c r="E5" s="7" t="s">
        <v>76</v>
      </c>
      <c r="F5" s="7" t="s">
        <v>40</v>
      </c>
      <c r="G5" s="7" t="n">
        <v>10</v>
      </c>
      <c r="H5" s="7" t="s">
        <v>41</v>
      </c>
      <c r="I5" s="7" t="s">
        <v>42</v>
      </c>
      <c r="J5" s="7" t="s">
        <v>77</v>
      </c>
      <c r="K5" s="7" t="s">
        <v>78</v>
      </c>
      <c r="L5" s="7" t="s">
        <v>79</v>
      </c>
      <c r="M5" s="7" t="s">
        <v>80</v>
      </c>
      <c r="N5" s="7" t="s">
        <v>60</v>
      </c>
      <c r="O5" s="7" t="s">
        <v>81</v>
      </c>
      <c r="P5" s="7" t="s">
        <v>82</v>
      </c>
      <c r="Q5" s="8" t="str">
        <f aca="false">IF(F5="","",IF(F5="Safe","Low — size check",IF(F5="Grover-weakened","Medium — verify key &gt;=256",IF(F5="Shor-broken",IF(I5="Yes","Critical — HNDL, irreversible","High"),"Review"))))</f>
        <v>Critical — HNDL, irreversible</v>
      </c>
    </row>
    <row r="6" customFormat="false" ht="30" hidden="false" customHeight="true" outlineLevel="0" collapsed="false">
      <c r="A6" s="7" t="s">
        <v>83</v>
      </c>
      <c r="B6" s="7" t="s">
        <v>84</v>
      </c>
      <c r="C6" s="7" t="s">
        <v>85</v>
      </c>
      <c r="D6" s="7" t="s">
        <v>86</v>
      </c>
      <c r="E6" s="7" t="s">
        <v>76</v>
      </c>
      <c r="F6" s="7" t="s">
        <v>87</v>
      </c>
      <c r="G6" s="7" t="n">
        <v>10</v>
      </c>
      <c r="H6" s="7" t="s">
        <v>41</v>
      </c>
      <c r="I6" s="7" t="s">
        <v>55</v>
      </c>
      <c r="J6" s="7" t="s">
        <v>88</v>
      </c>
      <c r="K6" s="7" t="s">
        <v>89</v>
      </c>
      <c r="L6" s="7" t="s">
        <v>90</v>
      </c>
      <c r="M6" s="7" t="s">
        <v>91</v>
      </c>
      <c r="N6" s="7" t="s">
        <v>92</v>
      </c>
      <c r="O6" s="7" t="s">
        <v>93</v>
      </c>
      <c r="P6" s="7" t="s">
        <v>94</v>
      </c>
      <c r="Q6" s="8" t="str">
        <f aca="false">IF(F6="","",IF(F6="Safe","Low — size check",IF(F6="Grover-weakened","Medium — verify key &gt;=256",IF(F6="Shor-broken",IF(I6="Yes","Critical — HNDL, irreversible","High"),"Review"))))</f>
        <v>Medium — verify key &gt;=256</v>
      </c>
    </row>
    <row r="7" customFormat="false" ht="30" hidden="false" customHeight="true" outlineLevel="0" collapsed="false">
      <c r="A7" s="7" t="s">
        <v>95</v>
      </c>
      <c r="B7" s="7" t="s">
        <v>96</v>
      </c>
      <c r="C7" s="7" t="s">
        <v>97</v>
      </c>
      <c r="D7" s="7" t="s">
        <v>98</v>
      </c>
      <c r="E7" s="7" t="s">
        <v>76</v>
      </c>
      <c r="F7" s="7" t="s">
        <v>99</v>
      </c>
      <c r="G7" s="7" t="n">
        <v>7</v>
      </c>
      <c r="H7" s="7" t="s">
        <v>100</v>
      </c>
      <c r="I7" s="7" t="s">
        <v>55</v>
      </c>
      <c r="J7" s="7" t="s">
        <v>101</v>
      </c>
      <c r="K7" s="7" t="s">
        <v>102</v>
      </c>
      <c r="L7" s="7" t="s">
        <v>90</v>
      </c>
      <c r="M7" s="7" t="s">
        <v>103</v>
      </c>
      <c r="N7" s="7" t="s">
        <v>92</v>
      </c>
      <c r="O7" s="7" t="s">
        <v>61</v>
      </c>
      <c r="P7" s="7" t="s">
        <v>104</v>
      </c>
      <c r="Q7" s="8" t="str">
        <f aca="false">IF(F7="","",IF(F7="Safe","Low — size check",IF(F7="Grover-weakened","Medium — verify key &gt;=256",IF(F7="Shor-broken",IF(I7="Yes","Critical — HNDL, irreversible","High"),"Review"))))</f>
        <v>Low — size check</v>
      </c>
    </row>
    <row r="8" customFormat="false" ht="30" hidden="false" customHeight="true" outlineLevel="0" collapsed="false">
      <c r="A8" s="7" t="s">
        <v>105</v>
      </c>
      <c r="B8" s="7" t="s">
        <v>84</v>
      </c>
      <c r="C8" s="7" t="s">
        <v>85</v>
      </c>
      <c r="D8" s="7" t="s">
        <v>106</v>
      </c>
      <c r="E8" s="7" t="s">
        <v>107</v>
      </c>
      <c r="F8" s="7" t="s">
        <v>87</v>
      </c>
      <c r="G8" s="7" t="n">
        <v>25</v>
      </c>
      <c r="H8" s="7" t="s">
        <v>67</v>
      </c>
      <c r="I8" s="7" t="s">
        <v>55</v>
      </c>
      <c r="J8" s="7" t="s">
        <v>108</v>
      </c>
      <c r="K8" s="7" t="s">
        <v>109</v>
      </c>
      <c r="L8" s="7" t="s">
        <v>90</v>
      </c>
      <c r="M8" s="7" t="s">
        <v>110</v>
      </c>
      <c r="N8" s="7" t="s">
        <v>60</v>
      </c>
      <c r="O8" s="7" t="s">
        <v>61</v>
      </c>
      <c r="P8" s="7" t="s">
        <v>111</v>
      </c>
      <c r="Q8" s="8" t="str">
        <f aca="false">IF(F8="","",IF(F8="Safe","Low — size check",IF(F8="Grover-weakened","Medium — verify key &gt;=256",IF(F8="Shor-broken",IF(I8="Yes","Critical — HNDL, irreversible","High"),"Review"))))</f>
        <v>Medium — verify key &gt;=256</v>
      </c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 t="str">
        <f aca="false">IF(F9="","",IF(F9="Safe","Low — size check",IF(F9="Grover-weakened","Medium — verify key &gt;=256",IF(F9="Shor-broken",IF(I9="Yes","Critical — HNDL, irreversible","High"),"Review"))))</f>
        <v/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0" t="str">
        <f aca="false">IF(F10="","",IF(F10="Safe","Low — size check",IF(F10="Grover-weakened","Medium — verify key &gt;=256",IF(F10="Shor-broken",IF(I10="Yes","Critical — HNDL, irreversible","High"),"Review"))))</f>
        <v/>
      </c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0" t="str">
        <f aca="false">IF(F11="","",IF(F11="Safe","Low — size check",IF(F11="Grover-weakened","Medium — verify key &gt;=256",IF(F11="Shor-broken",IF(I11="Yes","Critical — HNDL, irreversible","High"),"Review"))))</f>
        <v/>
      </c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0" t="str">
        <f aca="false">IF(F12="","",IF(F12="Safe","Low — size check",IF(F12="Grover-weakened","Medium — verify key &gt;=256",IF(F12="Shor-broken",IF(I12="Yes","Critical — HNDL, irreversible","High"),"Review"))))</f>
        <v/>
      </c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0" t="str">
        <f aca="false">IF(F13="","",IF(F13="Safe","Low — size check",IF(F13="Grover-weakened","Medium — verify key &gt;=256",IF(F13="Shor-broken",IF(I13="Yes","Critical — HNDL, irreversible","High"),"Review"))))</f>
        <v/>
      </c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0" t="str">
        <f aca="false">IF(F14="","",IF(F14="Safe","Low — size check",IF(F14="Grover-weakened","Medium — verify key &gt;=256",IF(F14="Shor-broken",IF(I14="Yes","Critical — HNDL, irreversible","High"),"Review"))))</f>
        <v/>
      </c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0" t="str">
        <f aca="false">IF(F15="","",IF(F15="Safe","Low — size check",IF(F15="Grover-weakened","Medium — verify key &gt;=256",IF(F15="Shor-broken",IF(I15="Yes","Critical — HNDL, irreversible","High"),"Review"))))</f>
        <v/>
      </c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0" t="str">
        <f aca="false">IF(F16="","",IF(F16="Safe","Low — size check",IF(F16="Grover-weakened","Medium — verify key &gt;=256",IF(F16="Shor-broken",IF(I16="Yes","Critical — HNDL, irreversible","High"),"Review"))))</f>
        <v/>
      </c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0" t="str">
        <f aca="false">IF(F17="","",IF(F17="Safe","Low — size check",IF(F17="Grover-weakened","Medium — verify key &gt;=256",IF(F17="Shor-broken",IF(I17="Yes","Critical — HNDL, irreversible","High"),"Review"))))</f>
        <v/>
      </c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0" t="str">
        <f aca="false">IF(F18="","",IF(F18="Safe","Low — size check",IF(F18="Grover-weakened","Medium — verify key &gt;=256",IF(F18="Shor-broken",IF(I18="Yes","Critical — HNDL, irreversible","High"),"Review"))))</f>
        <v/>
      </c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0" t="str">
        <f aca="false">IF(F19="","",IF(F19="Safe","Low — size check",IF(F19="Grover-weakened","Medium — verify key &gt;=256",IF(F19="Shor-broken",IF(I19="Yes","Critical — HNDL, irreversible","High"),"Review"))))</f>
        <v/>
      </c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0" t="str">
        <f aca="false">IF(F20="","",IF(F20="Safe","Low — size check",IF(F20="Grover-weakened","Medium — verify key &gt;=256",IF(F20="Shor-broken",IF(I20="Yes","Critical — HNDL, irreversible","High"),"Review"))))</f>
        <v/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0" t="str">
        <f aca="false">IF(F21="","",IF(F21="Safe","Low — size check",IF(F21="Grover-weakened","Medium — verify key &gt;=256",IF(F21="Shor-broken",IF(I21="Yes","Critical — HNDL, irreversible","High"),"Review"))))</f>
        <v/>
      </c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0" t="str">
        <f aca="false">IF(F22="","",IF(F22="Safe","Low — size check",IF(F22="Grover-weakened","Medium — verify key &gt;=256",IF(F22="Shor-broken",IF(I22="Yes","Critical — HNDL, irreversible","High"),"Review"))))</f>
        <v/>
      </c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0" t="str">
        <f aca="false">IF(F23="","",IF(F23="Safe","Low — size check",IF(F23="Grover-weakened","Medium — verify key &gt;=256",IF(F23="Shor-broken",IF(I23="Yes","Critical — HNDL, irreversible","High"),"Review"))))</f>
        <v/>
      </c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0" t="str">
        <f aca="false">IF(F24="","",IF(F24="Safe","Low — size check",IF(F24="Grover-weakened","Medium — verify key &gt;=256",IF(F24="Shor-broken",IF(I24="Yes","Critical — HNDL, irreversible","High"),"Review"))))</f>
        <v/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0" t="str">
        <f aca="false">IF(F25="","",IF(F25="Safe","Low — size check",IF(F25="Grover-weakened","Medium — verify key &gt;=256",IF(F25="Shor-broken",IF(I25="Yes","Critical — HNDL, irreversible","High"),"Review"))))</f>
        <v/>
      </c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0" t="str">
        <f aca="false">IF(F26="","",IF(F26="Safe","Low — size check",IF(F26="Grover-weakened","Medium — verify key &gt;=256",IF(F26="Shor-broken",IF(I26="Yes","Critical — HNDL, irreversible","High"),"Review"))))</f>
        <v/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0" t="str">
        <f aca="false">IF(F27="","",IF(F27="Safe","Low — size check",IF(F27="Grover-weakened","Medium — verify key &gt;=256",IF(F27="Shor-broken",IF(I27="Yes","Critical — HNDL, irreversible","High"),"Review"))))</f>
        <v/>
      </c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0" t="str">
        <f aca="false">IF(F28="","",IF(F28="Safe","Low — size check",IF(F28="Grover-weakened","Medium — verify key &gt;=256",IF(F28="Shor-broken",IF(I28="Yes","Critical — HNDL, irreversible","High"),"Review"))))</f>
        <v/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0" t="str">
        <f aca="false">IF(F29="","",IF(F29="Safe","Low — size check",IF(F29="Grover-weakened","Medium — verify key &gt;=256",IF(F29="Shor-broken",IF(I29="Yes","Critical — HNDL, irreversible","High"),"Review"))))</f>
        <v/>
      </c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0" t="str">
        <f aca="false">IF(F30="","",IF(F30="Safe","Low — size check",IF(F30="Grover-weakened","Medium — verify key &gt;=256",IF(F30="Shor-broken",IF(I30="Yes","Critical — HNDL, irreversible","High"),"Review"))))</f>
        <v/>
      </c>
    </row>
  </sheetData>
  <conditionalFormatting sqref="F2:F30">
    <cfRule type="cellIs" priority="2" operator="equal" aboveAverage="0" equalAverage="0" bottom="0" percent="0" rank="0" text="" dxfId="0">
      <formula>"Shor-broken"</formula>
    </cfRule>
    <cfRule type="cellIs" priority="3" operator="equal" aboveAverage="0" equalAverage="0" bottom="0" percent="0" rank="0" text="" dxfId="1">
      <formula>"Grover-weakened"</formula>
    </cfRule>
    <cfRule type="cellIs" priority="4" operator="equal" aboveAverage="0" equalAverage="0" bottom="0" percent="0" rank="0" text="" dxfId="2">
      <formula>"Safe"</formula>
    </cfRule>
  </conditionalFormatting>
  <conditionalFormatting sqref="Q2:Q30">
    <cfRule type="expression" priority="5" aboveAverage="0" equalAverage="0" bottom="0" percent="0" rank="0" text="" dxfId="0">
      <formula>ISNUMBER(SEARCH("Critical",Q2))</formula>
    </cfRule>
    <cfRule type="expression" priority="6" aboveAverage="0" equalAverage="0" bottom="0" percent="0" rank="0" text="" dxfId="3">
      <formula>ISNUMBER(SEARCH("High",Q2))</formula>
    </cfRule>
    <cfRule type="expression" priority="7" aboveAverage="0" equalAverage="0" bottom="0" percent="0" rank="0" text="" dxfId="1">
      <formula>ISNUMBER(SEARCH("Medium",Q2))</formula>
    </cfRule>
    <cfRule type="expression" priority="8" aboveAverage="0" equalAverage="0" bottom="0" percent="0" rank="0" text="" dxfId="2">
      <formula>ISNUMBER(SEARCH("Low",Q2))</formula>
    </cfRule>
  </conditionalFormatting>
  <dataValidations count="5">
    <dataValidation allowBlank="true" errorStyle="stop" operator="between" showDropDown="false" showErrorMessage="false" showInputMessage="false" sqref="F2:F30" type="list">
      <formula1>"Shor-broken,Grover-weakened,Safe"</formula1>
      <formula2>0</formula2>
    </dataValidation>
    <dataValidation allowBlank="true" errorStyle="stop" operator="between" showDropDown="false" showErrorMessage="false" showInputMessage="false" sqref="I2:I30" type="list">
      <formula1>"Yes,No"</formula1>
      <formula2>0</formula2>
    </dataValidation>
    <dataValidation allowBlank="true" errorStyle="stop" operator="between" showDropDown="false" showErrorMessage="false" showInputMessage="false" sqref="H2:H30" type="list">
      <formula1>"Short (&lt;3 yr),Medium (3-7 yr),Long (7-10 yr),Archival (15 yr)"</formula1>
      <formula2>0</formula2>
    </dataValidation>
    <dataValidation allowBlank="true" errorStyle="stop" operator="between" showDropDown="false" showErrorMessage="false" showInputMessage="false" sqref="L2:L30" type="list">
      <formula1>"Supported,Firmware planned,Hardware refresh needed,Community-paced,Unknown,N/A (symmetric)"</formula1>
      <formula2>0</formula2>
    </dataValidation>
    <dataValidation allowBlank="true" errorStyle="stop" operator="between" showDropDown="false" showErrorMessage="false" showInputMessage="false" sqref="N2:N30" type="list">
      <formula1>"Not started,Inventoried,Piloting,Migrated,Decommissioned,N/A"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80"/>
  </cols>
  <sheetData>
    <row r="2" customFormat="false" ht="17.35" hidden="false" customHeight="false" outlineLevel="0" collapsed="false">
      <c r="B2" s="11" t="s">
        <v>112</v>
      </c>
    </row>
    <row r="4" customFormat="false" ht="30" hidden="false" customHeight="true" outlineLevel="0" collapsed="false">
      <c r="B4" s="3" t="s">
        <v>113</v>
      </c>
      <c r="C4" s="4"/>
    </row>
    <row r="5" customFormat="false" ht="45" hidden="false" customHeight="true" outlineLevel="0" collapsed="false">
      <c r="B5" s="12" t="s">
        <v>40</v>
      </c>
      <c r="C5" s="4" t="s">
        <v>114</v>
      </c>
    </row>
    <row r="6" customFormat="false" ht="45" hidden="false" customHeight="true" outlineLevel="0" collapsed="false">
      <c r="B6" s="12" t="s">
        <v>87</v>
      </c>
      <c r="C6" s="4" t="s">
        <v>115</v>
      </c>
    </row>
    <row r="7" customFormat="false" ht="45" hidden="false" customHeight="true" outlineLevel="0" collapsed="false">
      <c r="B7" s="12" t="s">
        <v>99</v>
      </c>
      <c r="C7" s="4" t="s">
        <v>116</v>
      </c>
    </row>
    <row r="9" customFormat="false" ht="30" hidden="false" customHeight="true" outlineLevel="0" collapsed="false">
      <c r="B9" s="3" t="s">
        <v>117</v>
      </c>
      <c r="C9" s="4"/>
    </row>
    <row r="10" customFormat="false" ht="45" hidden="false" customHeight="true" outlineLevel="0" collapsed="false">
      <c r="B10" s="12" t="s">
        <v>118</v>
      </c>
      <c r="C10" s="4" t="s">
        <v>119</v>
      </c>
    </row>
    <row r="11" customFormat="false" ht="45" hidden="false" customHeight="true" outlineLevel="0" collapsed="false">
      <c r="B11" s="12" t="s">
        <v>120</v>
      </c>
      <c r="C11" s="4" t="s">
        <v>121</v>
      </c>
    </row>
    <row r="12" customFormat="false" ht="30" hidden="false" customHeight="true" outlineLevel="0" collapsed="false">
      <c r="B12" s="12" t="s">
        <v>122</v>
      </c>
      <c r="C12" s="4" t="s">
        <v>123</v>
      </c>
    </row>
    <row r="13" customFormat="false" ht="30" hidden="false" customHeight="true" outlineLevel="0" collapsed="false">
      <c r="B13" s="12" t="s">
        <v>124</v>
      </c>
      <c r="C13" s="4" t="s">
        <v>125</v>
      </c>
    </row>
    <row r="15" customFormat="false" ht="30" hidden="false" customHeight="true" outlineLevel="0" collapsed="false">
      <c r="B15" s="3" t="s">
        <v>126</v>
      </c>
      <c r="C15" s="4"/>
    </row>
    <row r="16" customFormat="false" ht="45" hidden="false" customHeight="true" outlineLevel="0" collapsed="false">
      <c r="B16" s="12" t="s">
        <v>127</v>
      </c>
      <c r="C16" s="4" t="s">
        <v>128</v>
      </c>
    </row>
    <row r="17" customFormat="false" ht="30" hidden="false" customHeight="true" outlineLevel="0" collapsed="false">
      <c r="B17" s="12" t="s">
        <v>129</v>
      </c>
      <c r="C17" s="4" t="s">
        <v>130</v>
      </c>
    </row>
    <row r="18" customFormat="false" ht="45" hidden="false" customHeight="true" outlineLevel="0" collapsed="false">
      <c r="B18" s="12" t="s">
        <v>131</v>
      </c>
      <c r="C18" s="4" t="s">
        <v>132</v>
      </c>
    </row>
    <row r="19" customFormat="false" ht="30" hidden="false" customHeight="true" outlineLevel="0" collapsed="false">
      <c r="B19" s="12" t="s">
        <v>133</v>
      </c>
      <c r="C19" s="4" t="s">
        <v>134</v>
      </c>
    </row>
    <row r="21" customFormat="false" ht="30" hidden="false" customHeight="true" outlineLevel="0" collapsed="false">
      <c r="B21" s="3" t="s">
        <v>135</v>
      </c>
      <c r="C21" s="4"/>
    </row>
    <row r="22" customFormat="false" ht="45" hidden="false" customHeight="true" outlineLevel="0" collapsed="false">
      <c r="B22" s="12" t="s">
        <v>136</v>
      </c>
      <c r="C22" s="4" t="s">
        <v>137</v>
      </c>
    </row>
    <row r="23" customFormat="false" ht="45" hidden="false" customHeight="true" outlineLevel="0" collapsed="false">
      <c r="B23" s="12" t="s">
        <v>138</v>
      </c>
      <c r="C23" s="4" t="s">
        <v>139</v>
      </c>
    </row>
    <row r="24" customFormat="false" ht="30" hidden="false" customHeight="true" outlineLevel="0" collapsed="false">
      <c r="B24" s="12" t="s">
        <v>140</v>
      </c>
      <c r="C24" s="4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2026-06-16T10:05:07Z</dcterms:created>
  <dc:creator>openpyxl</dc:creator>
  <dc:description/>
  <dc:language>en-US</dc:language>
  <cp:lastModifiedBy/>
  <dcterms:modified xsi:type="dcterms:W3CDTF">2026-06-16T10:05:07Z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